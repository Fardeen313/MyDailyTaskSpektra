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deen Attar\Desktop\workspace\MyDailyTaskSpektra\AWS-Day-15_20-03-Fri\"/>
    </mc:Choice>
  </mc:AlternateContent>
  <xr:revisionPtr revIDLastSave="0" documentId="13_ncr:1_{88050035-A275-4922-A6C1-97873D7D9F18}" xr6:coauthVersionLast="47" xr6:coauthVersionMax="47" xr10:uidLastSave="{00000000-0000-0000-0000-000000000000}"/>
  <bookViews>
    <workbookView xWindow="-108" yWindow="-108" windowWidth="23256" windowHeight="12456" xr2:uid="{280ACA58-32F8-46F8-B816-8C941D0F6C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G12" i="1"/>
  <c r="G11" i="1"/>
  <c r="G10" i="1"/>
  <c r="G9" i="1"/>
  <c r="G8" i="1"/>
  <c r="G7" i="1"/>
  <c r="G14" i="1" l="1"/>
</calcChain>
</file>

<file path=xl/sharedStrings.xml><?xml version="1.0" encoding="utf-8"?>
<sst xmlns="http://schemas.openxmlformats.org/spreadsheetml/2006/main" count="26" uniqueCount="26">
  <si>
    <t>Estimation and costing plan for AWS Resources</t>
  </si>
  <si>
    <t>Uptime</t>
  </si>
  <si>
    <t xml:space="preserve">Lab Duration </t>
  </si>
  <si>
    <t>Resources</t>
  </si>
  <si>
    <t>Cost/hr</t>
  </si>
  <si>
    <t>EC2</t>
  </si>
  <si>
    <t>S3</t>
  </si>
  <si>
    <t>RDS</t>
  </si>
  <si>
    <t>Elastic Load balancer</t>
  </si>
  <si>
    <t>Data Transfer</t>
  </si>
  <si>
    <t>Count</t>
  </si>
  <si>
    <t>Type &amp; Size</t>
  </si>
  <si>
    <t>c6in.xlarge(4 core 8GiB)</t>
  </si>
  <si>
    <t>EBS Volume</t>
  </si>
  <si>
    <t>general purpose gp2(60GiB)</t>
  </si>
  <si>
    <t>10GB/hr</t>
  </si>
  <si>
    <t>10 GB</t>
  </si>
  <si>
    <t>db.t3.micro</t>
  </si>
  <si>
    <t>2 vCPU  memory- 4GB</t>
  </si>
  <si>
    <t>ECS Farget</t>
  </si>
  <si>
    <t>Resource can be Paused if true 
enter =1 otherwise 0</t>
  </si>
  <si>
    <t>Total Number of Users</t>
  </si>
  <si>
    <t>Track Name</t>
  </si>
  <si>
    <t>Total Cost</t>
  </si>
  <si>
    <t>outbound (AWS → Internet) next 40 TB/month</t>
  </si>
  <si>
    <t>Total Cost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</si>
</sst>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4.9989318521683403E-2"/>
        <bgColor indexed="64"/>
      </patternFill>
    </fill>
  </fills>
  <borders count="26">
    <border>
      <left/>
      <right/>
      <top/>
      <bottom/>
      <diagonal/>
    </border>
    <border>
      <left/>
      <right/>
      <top style="thick">
        <color rgb="FFFF0000"/>
      </top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/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ck">
        <color rgb="FF00206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FF00"/>
      </right>
      <top style="thick">
        <color rgb="FFFF0000"/>
      </top>
      <bottom style="thick">
        <color rgb="FFFF0000"/>
      </bottom>
      <diagonal/>
    </border>
    <border>
      <left/>
      <right style="thick">
        <color rgb="FFFFFF00"/>
      </right>
      <top style="thick">
        <color rgb="FFFF0000"/>
      </top>
      <bottom style="thick">
        <color rgb="FFFF0000"/>
      </bottom>
      <diagonal/>
    </border>
    <border>
      <left style="thick">
        <color rgb="FFFFFF00"/>
      </left>
      <right style="thick">
        <color rgb="FFFFFF00"/>
      </right>
      <top style="thick">
        <color rgb="FFFF0000"/>
      </top>
      <bottom style="thick">
        <color rgb="FFFF0000"/>
      </bottom>
      <diagonal/>
    </border>
    <border>
      <left style="thick">
        <color rgb="FFFFFF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auto="1"/>
      </bottom>
      <diagonal/>
    </border>
    <border>
      <left style="thick">
        <color rgb="FFFF0000"/>
      </left>
      <right style="thick">
        <color rgb="FFFF0000"/>
      </right>
      <top/>
      <bottom style="thick">
        <color theme="1" tint="4.9989318521683403E-2"/>
      </bottom>
      <diagonal/>
    </border>
    <border>
      <left style="thick">
        <color rgb="FFFF0000"/>
      </left>
      <right style="thick">
        <color rgb="FFFF0000"/>
      </right>
      <top style="thick">
        <color theme="1" tint="4.9989318521683403E-2"/>
      </top>
      <bottom style="thick">
        <color theme="1" tint="4.9989318521683403E-2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auto="1"/>
      </bottom>
      <diagonal/>
    </border>
    <border>
      <left/>
      <right style="thick">
        <color rgb="FFFF0000"/>
      </right>
      <top/>
      <bottom style="thick">
        <color theme="1" tint="4.9989318521683403E-2"/>
      </bottom>
      <diagonal/>
    </border>
    <border>
      <left/>
      <right style="thick">
        <color rgb="FFFF0000"/>
      </right>
      <top style="thick">
        <color theme="1" tint="4.9989318521683403E-2"/>
      </top>
      <bottom style="thick">
        <color theme="1" tint="4.9989318521683403E-2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6" borderId="9" xfId="0" applyFill="1" applyBorder="1"/>
    <xf numFmtId="0" fontId="0" fillId="6" borderId="0" xfId="0" applyFill="1" applyBorder="1"/>
    <xf numFmtId="0" fontId="0" fillId="6" borderId="0" xfId="0" applyFill="1" applyBorder="1" applyAlignment="1">
      <alignment horizontal="center"/>
    </xf>
    <xf numFmtId="0" fontId="0" fillId="4" borderId="0" xfId="0" applyFill="1" applyBorder="1"/>
    <xf numFmtId="0" fontId="0" fillId="2" borderId="10" xfId="0" applyFill="1" applyBorder="1" applyAlignment="1">
      <alignment horizontal="center"/>
    </xf>
    <xf numFmtId="0" fontId="0" fillId="6" borderId="14" xfId="0" applyFill="1" applyBorder="1"/>
    <xf numFmtId="0" fontId="4" fillId="5" borderId="2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/>
    </xf>
    <xf numFmtId="0" fontId="4" fillId="6" borderId="8" xfId="0" applyFont="1" applyFill="1" applyBorder="1"/>
    <xf numFmtId="0" fontId="1" fillId="6" borderId="13" xfId="0" applyFont="1" applyFill="1" applyBorder="1"/>
    <xf numFmtId="0" fontId="4" fillId="6" borderId="19" xfId="0" applyFont="1" applyFill="1" applyBorder="1"/>
    <xf numFmtId="0" fontId="4" fillId="6" borderId="20" xfId="0" applyFont="1" applyFill="1" applyBorder="1"/>
    <xf numFmtId="0" fontId="4" fillId="6" borderId="21" xfId="0" applyFont="1" applyFill="1" applyBorder="1"/>
    <xf numFmtId="0" fontId="4" fillId="6" borderId="22" xfId="0" applyFont="1" applyFill="1" applyBorder="1"/>
    <xf numFmtId="0" fontId="4" fillId="6" borderId="19" xfId="0" applyFont="1" applyFill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4" fillId="6" borderId="21" xfId="0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4" fillId="6" borderId="23" xfId="0" applyFont="1" applyFill="1" applyBorder="1"/>
    <xf numFmtId="0" fontId="4" fillId="6" borderId="24" xfId="0" applyFont="1" applyFill="1" applyBorder="1"/>
    <xf numFmtId="0" fontId="4" fillId="6" borderId="25" xfId="0" applyFont="1" applyFill="1" applyBorder="1"/>
    <xf numFmtId="0" fontId="4" fillId="6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82E4-D19C-4519-B6FD-FB80E7827D03}">
  <dimension ref="A1:Q15"/>
  <sheetViews>
    <sheetView tabSelected="1" topLeftCell="A2" workbookViewId="0">
      <selection activeCell="D20" sqref="D20"/>
    </sheetView>
  </sheetViews>
  <sheetFormatPr defaultRowHeight="14.4" x14ac:dyDescent="0.3"/>
  <cols>
    <col min="1" max="1" width="14.5546875" customWidth="1"/>
    <col min="2" max="2" width="18.109375" customWidth="1"/>
    <col min="3" max="3" width="39.109375" customWidth="1"/>
    <col min="4" max="4" width="16.109375" customWidth="1"/>
    <col min="5" max="5" width="32.44140625" customWidth="1"/>
    <col min="6" max="6" width="11.21875" customWidth="1"/>
    <col min="7" max="7" width="12.5546875" customWidth="1"/>
  </cols>
  <sheetData>
    <row r="1" spans="1:17" ht="15.6" thickTop="1" thickBot="1" x14ac:dyDescent="0.35">
      <c r="A1" s="14" t="s">
        <v>0</v>
      </c>
      <c r="B1" s="15"/>
      <c r="C1" s="15"/>
      <c r="D1" s="15"/>
      <c r="E1" s="15"/>
      <c r="F1" s="15"/>
      <c r="G1" s="16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" thickTop="1" x14ac:dyDescent="0.3">
      <c r="A2" s="12" t="s">
        <v>1</v>
      </c>
      <c r="B2" s="2"/>
      <c r="C2" s="2"/>
      <c r="D2" s="2"/>
      <c r="E2" s="2"/>
      <c r="F2" s="17"/>
      <c r="G2" s="4">
        <v>50</v>
      </c>
    </row>
    <row r="3" spans="1:17" x14ac:dyDescent="0.3">
      <c r="A3" s="7" t="s">
        <v>2</v>
      </c>
      <c r="B3" s="6"/>
      <c r="C3" s="6"/>
      <c r="D3" s="6"/>
      <c r="E3" s="6"/>
      <c r="F3" s="18"/>
      <c r="G3" s="3">
        <v>60</v>
      </c>
    </row>
    <row r="4" spans="1:17" ht="15" thickBot="1" x14ac:dyDescent="0.35">
      <c r="A4" s="19" t="s">
        <v>21</v>
      </c>
      <c r="B4" s="20"/>
      <c r="C4" s="20"/>
      <c r="D4" s="20"/>
      <c r="E4" s="20"/>
      <c r="F4" s="21"/>
      <c r="G4" s="5">
        <v>10</v>
      </c>
    </row>
    <row r="5" spans="1:17" ht="30" thickTop="1" thickBot="1" x14ac:dyDescent="0.35">
      <c r="A5" s="22" t="s">
        <v>22</v>
      </c>
      <c r="B5" s="23" t="s">
        <v>3</v>
      </c>
      <c r="C5" s="24" t="s">
        <v>11</v>
      </c>
      <c r="D5" s="25" t="s">
        <v>4</v>
      </c>
      <c r="E5" s="26" t="s">
        <v>20</v>
      </c>
      <c r="F5" s="26" t="s">
        <v>10</v>
      </c>
      <c r="G5" s="27" t="s">
        <v>23</v>
      </c>
    </row>
    <row r="6" spans="1:17" ht="15.6" thickTop="1" thickBot="1" x14ac:dyDescent="0.35">
      <c r="A6" s="8"/>
      <c r="B6" s="9"/>
      <c r="C6" s="9"/>
      <c r="D6" s="9"/>
      <c r="E6" s="10"/>
      <c r="F6" s="10"/>
      <c r="G6" s="13"/>
    </row>
    <row r="7" spans="1:17" ht="15.6" thickTop="1" thickBot="1" x14ac:dyDescent="0.35">
      <c r="A7" s="30"/>
      <c r="B7" s="30" t="s">
        <v>5</v>
      </c>
      <c r="C7" s="30" t="s">
        <v>12</v>
      </c>
      <c r="D7" s="30">
        <v>0.35399999999999998</v>
      </c>
      <c r="E7" s="34">
        <v>0</v>
      </c>
      <c r="F7" s="34">
        <v>2</v>
      </c>
      <c r="G7" s="38">
        <f>IF(E7=1, D7*$F$7*$G$2*$G$4, D7*$F$7*$G$3*$G$4)</f>
        <v>424.79999999999995</v>
      </c>
    </row>
    <row r="8" spans="1:17" ht="15.6" thickTop="1" thickBot="1" x14ac:dyDescent="0.35">
      <c r="A8" s="31"/>
      <c r="B8" s="31" t="s">
        <v>9</v>
      </c>
      <c r="C8" s="31" t="s">
        <v>24</v>
      </c>
      <c r="D8" s="31">
        <v>4.83</v>
      </c>
      <c r="E8" s="35">
        <v>0</v>
      </c>
      <c r="F8" s="35">
        <v>2</v>
      </c>
      <c r="G8" s="39">
        <f>IF(E8=1, D8*$F$8*$G$2*$G$4, D8*$F$8*$G$3*$G$4)</f>
        <v>5796</v>
      </c>
    </row>
    <row r="9" spans="1:17" ht="15.6" thickTop="1" thickBot="1" x14ac:dyDescent="0.35">
      <c r="A9" s="32"/>
      <c r="B9" s="32" t="s">
        <v>8</v>
      </c>
      <c r="C9" s="32" t="s">
        <v>15</v>
      </c>
      <c r="D9" s="32">
        <v>2.2499999999999999E-2</v>
      </c>
      <c r="E9" s="36">
        <v>0</v>
      </c>
      <c r="F9" s="36">
        <v>2</v>
      </c>
      <c r="G9" s="40">
        <f>IF(E9=1, D9*$F$9*$G$2*$G$4, D9*$F$9*$G$3*$G$4)</f>
        <v>26.999999999999996</v>
      </c>
    </row>
    <row r="10" spans="1:17" ht="15.6" thickTop="1" thickBot="1" x14ac:dyDescent="0.35">
      <c r="A10" s="32"/>
      <c r="B10" s="32" t="s">
        <v>13</v>
      </c>
      <c r="C10" s="32" t="s">
        <v>14</v>
      </c>
      <c r="D10" s="32">
        <v>0.2</v>
      </c>
      <c r="E10" s="36">
        <v>0</v>
      </c>
      <c r="F10" s="36">
        <v>1</v>
      </c>
      <c r="G10" s="40">
        <f>IF(E7=1, D10*$F$10*$G$2*$G$4, D10*$F$10*$G$3*$G$4)</f>
        <v>120</v>
      </c>
    </row>
    <row r="11" spans="1:17" ht="15.6" thickTop="1" thickBot="1" x14ac:dyDescent="0.35">
      <c r="A11" s="32"/>
      <c r="B11" s="32" t="s">
        <v>6</v>
      </c>
      <c r="C11" s="32" t="s">
        <v>16</v>
      </c>
      <c r="D11" s="32">
        <v>3.1500000000000001E-4</v>
      </c>
      <c r="E11" s="36">
        <v>0</v>
      </c>
      <c r="F11" s="36">
        <v>1</v>
      </c>
      <c r="G11" s="40">
        <f>IF(E11=1, D11*$F$11*$G$2*$G$4, D11*$F$11*$G$3*$G$4)</f>
        <v>0.189</v>
      </c>
    </row>
    <row r="12" spans="1:17" ht="15.6" thickTop="1" thickBot="1" x14ac:dyDescent="0.35">
      <c r="A12" s="32"/>
      <c r="B12" s="32" t="s">
        <v>7</v>
      </c>
      <c r="C12" s="32" t="s">
        <v>17</v>
      </c>
      <c r="D12" s="32">
        <v>1.9E-2</v>
      </c>
      <c r="E12" s="36">
        <v>0</v>
      </c>
      <c r="F12" s="36">
        <v>1</v>
      </c>
      <c r="G12" s="40">
        <f>IF(E12=1, D12*$F$12*$G$2*$G$4, D12*$F$12*$G$3*$G$4)</f>
        <v>11.399999999999999</v>
      </c>
    </row>
    <row r="13" spans="1:17" ht="15.6" thickTop="1" thickBot="1" x14ac:dyDescent="0.35">
      <c r="A13" s="33"/>
      <c r="B13" s="33" t="s">
        <v>19</v>
      </c>
      <c r="C13" s="33" t="s">
        <v>18</v>
      </c>
      <c r="D13" s="33">
        <v>9.8739999999999994E-2</v>
      </c>
      <c r="E13" s="37">
        <v>1</v>
      </c>
      <c r="F13" s="37">
        <v>1</v>
      </c>
      <c r="G13" s="41">
        <f>IF(E13=1, D13*$F$13*$G$2*$G$4, D13*$F$13*$G$3*$G$4)</f>
        <v>49.36999999999999</v>
      </c>
    </row>
    <row r="14" spans="1:17" ht="15.6" thickTop="1" thickBot="1" x14ac:dyDescent="0.35">
      <c r="A14" s="11"/>
      <c r="B14" s="11"/>
      <c r="C14" s="11"/>
      <c r="D14" s="11"/>
      <c r="E14" s="11"/>
      <c r="F14" s="29" t="s">
        <v>25</v>
      </c>
      <c r="G14" s="28">
        <f>SUM(G7:G13)</f>
        <v>6428.759</v>
      </c>
    </row>
    <row r="15" spans="1:17" ht="15" thickTop="1" x14ac:dyDescent="0.3"/>
  </sheetData>
  <mergeCells count="4">
    <mergeCell ref="A4:F4"/>
    <mergeCell ref="A3:F3"/>
    <mergeCell ref="A2:F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Fardeen Attar</dc:creator>
  <cp:lastModifiedBy>Fardeen Attar</cp:lastModifiedBy>
  <dcterms:created xsi:type="dcterms:W3CDTF">2026-03-20T06:54:23Z</dcterms:created>
  <dcterms:modified xsi:type="dcterms:W3CDTF">2026-03-21T17:54:30Z</dcterms:modified>
</cp:coreProperties>
</file>